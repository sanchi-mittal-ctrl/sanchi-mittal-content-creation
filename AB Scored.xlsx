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A16CDCCD-1C49-468F-A807-3CEF4C2D691D}" xr6:coauthVersionLast="47" xr6:coauthVersionMax="47" xr10:uidLastSave="{00000000-0000-0000-0000-000000000000}"/>
  <bookViews>
    <workbookView xWindow="6516" yWindow="3360" windowWidth="11064" windowHeight="8880" xr2:uid="{00000000-000D-0000-FFFF-FFFF00000000}"/>
  </bookViews>
  <sheets>
    <sheet name="5 Selected Rows" sheetId="1" r:id="rId1"/>
    <sheet name="Prompt Library" sheetId="2" r:id="rId2"/>
    <sheet name="AB Scoring Sheet" sheetId="3" r:id="rId3"/>
    <sheet name="Summary Dashboard" sheetId="4" r:id="rId4"/>
  </sheets>
  <calcPr calcId="191029"/>
</workbook>
</file>

<file path=xl/calcChain.xml><?xml version="1.0" encoding="utf-8"?>
<calcChain xmlns="http://schemas.openxmlformats.org/spreadsheetml/2006/main">
  <c r="E7" i="4" l="1"/>
  <c r="D7" i="4"/>
  <c r="C7" i="4"/>
  <c r="B7" i="4"/>
  <c r="E6" i="4"/>
  <c r="D6" i="4"/>
  <c r="C6" i="4"/>
  <c r="B6" i="4"/>
  <c r="E5" i="4"/>
  <c r="D5" i="4"/>
  <c r="C5" i="4"/>
  <c r="B5" i="4"/>
  <c r="E4" i="4"/>
  <c r="D4" i="4"/>
  <c r="C4" i="4"/>
  <c r="C8" i="4" s="1"/>
  <c r="B4" i="4"/>
  <c r="B8" i="4" s="1"/>
  <c r="J13" i="3"/>
  <c r="J12" i="3"/>
  <c r="J11" i="3"/>
  <c r="J10" i="3"/>
  <c r="J9" i="3"/>
  <c r="J8" i="3"/>
  <c r="J7" i="3"/>
  <c r="J6" i="3"/>
  <c r="J5" i="3"/>
  <c r="J4" i="3"/>
  <c r="E8" i="4" l="1"/>
  <c r="D8" i="4"/>
</calcChain>
</file>

<file path=xl/sharedStrings.xml><?xml version="1.0" encoding="utf-8"?>
<sst xmlns="http://schemas.openxmlformats.org/spreadsheetml/2006/main" count="152" uniqueCount="100">
  <si>
    <t>ContentAlchemy — 5 Selected Dataset Rows for A/B Testing</t>
  </si>
  <si>
    <t>Row #</t>
  </si>
  <si>
    <t>Product Category</t>
  </si>
  <si>
    <t>Product Name</t>
  </si>
  <si>
    <t>State</t>
  </si>
  <si>
    <t>Unit Price (INR)</t>
  </si>
  <si>
    <t>Review Rating</t>
  </si>
  <si>
    <t>Review Text</t>
  </si>
  <si>
    <t>Delivery Status</t>
  </si>
  <si>
    <t>Home &amp; Kitchen</t>
  </si>
  <si>
    <t>Cookware Set</t>
  </si>
  <si>
    <t>Maharashtra</t>
  </si>
  <si>
    <t>Fantastic quality!</t>
  </si>
  <si>
    <t>Delivered</t>
  </si>
  <si>
    <t>Sikkim</t>
  </si>
  <si>
    <t>Waste of money</t>
  </si>
  <si>
    <t>Returned</t>
  </si>
  <si>
    <t>Beauty</t>
  </si>
  <si>
    <t>Hair Dryer</t>
  </si>
  <si>
    <t>Telangana</t>
  </si>
  <si>
    <t>Excellent product!</t>
  </si>
  <si>
    <t>Tripura</t>
  </si>
  <si>
    <t>Quality could improve</t>
  </si>
  <si>
    <t>Electronics</t>
  </si>
  <si>
    <t>Headphones</t>
  </si>
  <si>
    <t>Assam</t>
  </si>
  <si>
    <t>Highly recommend!</t>
  </si>
  <si>
    <t>ContentAlchemy — Structured vs Generic Prompt Library</t>
  </si>
  <si>
    <t>Prompt Type</t>
  </si>
  <si>
    <t>STRUCTURED</t>
  </si>
  <si>
    <t>Role: You are an expert Indian e-commerce copywriter for Amazon sales campaigns.
Context: A customer in Maharashtra purchased a Cookware Set from Home &amp; Kitchen for Rs.12,195. Rated 5/5. Said: 'Fantastic quality!' Order Delivered.
Task: Write a compelling Instagram ad caption using this positive review as social proof. Include price and encourage purchase.
Format: Hook line (1 punchy line) + Body (3-4 lines on features) + Social proof line (using review) + CTA. Include 2 emojis.
Tone: Confident, trustworthy, aspirational, persuasive.</t>
  </si>
  <si>
    <t>GENERIC</t>
  </si>
  <si>
    <t>Write an Instagram ad for a Cookware Set.</t>
  </si>
  <si>
    <t>Role: You are a senior brand reputation manager for an Indian e-commerce company.
Context: Customer in Sikkim purchased Cookware Set for Rs.25,574. Order Returned. Rated 1/5. Said: 'Waste of money'.
Task: Write a complete customer service email that (1) acknowledges concern with empathy, (2) offers full refund or free replacement, (3) highlights quality assurance, and (4) includes a recovery offer.
Format: Email with greeting + 3 body paragraphs (acknowledgment, solution, recovery) + professional closing.
Tone: Empathetic, professional, solution-focused.</t>
  </si>
  <si>
    <t>Respond to a bad review about a Cookware Set.</t>
  </si>
  <si>
    <t>Role: You are a top-tier Indian social media copywriter specialising in beauty products.
Context: Customer in Telangana purchased Hair Dryer from Beauty for Rs.19,361. Rated 5/5. Said: 'Excellent product!'
Task: Write a scroll-stopping Instagram ad caption with a strong hook, builds desire through features, uses review as social proof, closes with urgency and strong CTA.
Format: Hook (1 line) + Body (4-5 lines) + Social proof + Urgency + CTA + 8-10 hashtags.
Tone: Bold, aspirational, beauty-forward, exciting.</t>
  </si>
  <si>
    <t>Write an Instagram ad for a Hair Dryer.</t>
  </si>
  <si>
    <t>Role: You are a conversion-focused copywriter for an Indian beauty brand.
Context: Customer in Tripura bought Hair Dryer for Rs.46,303. Delivered. Rated 2/5. Said: 'Quality could improve'.
Task: Write a personalised outreach email that validates quality concern, explains premium features, offers exchange or free usage guide, includes loyalty discount.
Format: Personalized greeting + 4 paragraphs (validation, features, offer, discount CTA) + warm closing.
Tone: Understanding, helpful, premium, non-defensive.</t>
  </si>
  <si>
    <t>Write an email for a customer who gave a bad review for a Hair Dryer.</t>
  </si>
  <si>
    <t>Role: You are an expert Indian e-commerce copywriter specialising in electronics.
Context: Customer in Assam purchased Headphones from Electronics for Rs.38,145. Rated 5/5. Said: 'Highly recommend!' Delivered.
Task: Write a full Amazon product listing description highlighting audio features, using customer recommendation as social proof, targeting tech-savvy buyers.
Format: Title hook + Overview (2 sentences) + 5 key features + Customer testimonial + Price value + Buy CTA.
Tone: Technical, credible, aspirational, persuasive.</t>
  </si>
  <si>
    <t>Write a product description for Headphones.</t>
  </si>
  <si>
    <t>ContentAlchemy — A/B Prompt Comparison and Scoring Sheet</t>
  </si>
  <si>
    <t>INPUT DATA</t>
  </si>
  <si>
    <t>PROMPT INFO</t>
  </si>
  <si>
    <t>OUTPUT</t>
  </si>
  <si>
    <t>SCORING — Enter 1 to 5 in each yellow cell</t>
  </si>
  <si>
    <t>RESULTS</t>
  </si>
  <si>
    <t>Product</t>
  </si>
  <si>
    <t>Content Type</t>
  </si>
  <si>
    <t>Paste Copilot Output Here</t>
  </si>
  <si>
    <t>Contextual
Accuracy
(1-5)</t>
  </si>
  <si>
    <t>Sentiment
Alignment
(1-5)</t>
  </si>
  <si>
    <t>CTA
Strength
(1-5)</t>
  </si>
  <si>
    <t>Personaliz-
ation
(1-5)</t>
  </si>
  <si>
    <t>Average
Score</t>
  </si>
  <si>
    <t>Winner
(S or G)</t>
  </si>
  <si>
    <t>Instagram Caption</t>
  </si>
  <si>
    <t>Upgrade your kitchen in one smart move! 🔥
Premium cookware set with sturdy build &amp; elegant finish  
Even heat distribution for perfectly cooked meals  
Durable, long‑lasting &amp; super easy to clean  
All this at just Rs. 12,195—value that’s hard to beat 🍳
⭐ 5/5 customer from Maharashtra says:“Fantastic quality!”  
Loved, rated, and delivered—don’t miss out!
👉 Tap to shop now on Amazon &amp; cook like a pro.</t>
  </si>
  <si>
    <t>Upgrade your kitchen with cookware that works as hard as you do.
✨ Even heat.
✨ Non‑stick ease.
✨ Built to last.
From quick breakfasts to gourmet dinners — every meal feels effortless.
Tap to upgrade your cooking game 🍳👇</t>
  </si>
  <si>
    <t>Email Response</t>
  </si>
  <si>
    <t>**Subject:** We’re sorry about your experience — here’s how we’ll make it right
Dear Customer,
Thank you for taking the time to share your feedback. We’re truly sorry to hear that the cookware set you purchased did not meet your expectations and that the experience felt like a waste of money. We understand how disappointing this can be, especially for a premium purchase, and we sincerely regret the inconvenience caused to you in Sikkim.
Your satisfaction is important to us. As a resolution, we would like to offer **a full refund of Rs. 25,574** to your original payment method, or **a free replacement** with a fresh quality‑checked unit—whichever you prefer. Please let us know your choice, and our support team will ensure the process is handled quickly and smoothly with no further effort required from your side.
We also want to reassure you that this experience is not reflective of our usual standards. All our cookware goes through multiple quality assurance checks for materials, finish, and performance before dispatch. We are internally reviewing this case with our quality team to prevent similar issues in the future.
As a gesture of goodwill and to regain your trust, we would like to offer you **a special recovery benefit**: an exclusive discount voucher for your next purchase, should you choose to shop with us again. We truly hope to have the opportunity to serve you better and deliver the quality experience you deserve.
Thank you for your patience and understanding. Please feel free to reply to this email or contact our customer care team for immediate assistance.
Warm regards,  
**Customer Experience Team**  
\[Company Name]  
\[Customer Support Contact Details]</t>
  </si>
  <si>
    <t>Thank you for sharing your feedback.
We’re really sorry to hear that your experience with our cookware set didn’t meet expectations. That’s not the level of quality or performance we aim to deliver.
We understand how frustrating kitchen issues can be, especially when you’re relying on cookware every day. Your comments help us improve, and we take them seriously.
Please reach out to us at [support email / DM us] with your order details so our customer care team can assist you with a replacement, refund, or solution. We’d genuinely like the opportunity to make this right.
Thank you for giving us a try — we appreciate your honesty.</t>
  </si>
  <si>
    <t>**Turn everyday hair days into salon‑level glam.**
Engineered for fast drying with powerful airflow  
Advanced heat control to reduce frizz &amp; protect shine  
Lightweight design for easy handling and smooth styling  
Perfect for sleek looks, soft waves, or quick touch‑ups  
Luxury performance worth every rupee at **Rs. 19,361**
⭐ **5/5 from a happy customer in Telangana:** *“Excellent product!”*
⚡ **Best‑sellers don’t stay in stock for long. Limited units available.**  
👉 **Shop now &amp; upgrade your hair game today.**
\#HairGoals #BeautyMustHave #SalonAtHome #HairDryerLove #PremiumBeauty #IndianBeauty #GlossyHair #StyleUpgrade</t>
  </si>
  <si>
    <t xml:space="preserve"> Salon‑Smooth Hair. Every Single Day.
Meet the hair dryer that dries faster, styles better, and protects your shine.
✨ Powerful airflow
✨ Less heat damage
✨ Lightweight &amp; easy to use
Good hair days just got effortless.
Tap to shine ✨👇
#HairGoals #StyleAtHome #HealthyHair</t>
  </si>
  <si>
    <t>Email Campaign</t>
  </si>
  <si>
    <t>Subject: Thank you for your feedback — let us help you get the best experience
Dear \[Customer Name],
Thank you for sharing your honest feedback with us. We truly appreciate you taking the time to let us know that the quality of the hair dryer did not fully meet your expectations. For a premium purchase of **Rs. 46,303**, it’s completely understandable to expect excellence, and we’re sorry that your experience so far hasn’t reflected that.
We’d also like to share a bit more about the product, as many of its premium benefits become noticeable with the right usage. This hair dryer is designed with advanced airflow technology, precise heat control, and long‑life internal components to support professional‑grade styling while protecting hair health. That said, we recognise that comfort, feel, and results can vary from person to person—and your feedback helps us improve.
To support you better, we’d be happy to offer **a free exchange** for another unit, or alternatively, **a complimentary personalised usage guide** created by our product experts to help you get optimal performance based on your hair type and styling needs. Please do let us know which option you’d prefer—we want to make this effortless for you.
As a thank‑you for giving us the opportunity to make things right, we’re also extending **an exclusive loyalty discount on your next purchase**, should you choose to continue with us. Simply reply to this email, and our team will arrange everything for you right away.
Warm regards,  
Customer Care Team
\[Brand Name]  
\[Support Email | Phone Number]</t>
  </si>
  <si>
    <t>Subject: We’d Love to Make This Right
Hi [Customer Name],
We’re sorry to hear that you weren’t satisfied with your hair dryer. That’s not the experience we want you to have. We truly appreciate your feedback and would love the chance to help resolve this.
Please reach out to us at [support email / phone] with your order details so we can assist you further.
Thank you for giving us a try — we hope to turn this around for you.
Best,
[Brand Name] Team</t>
  </si>
  <si>
    <t>Product Description</t>
  </si>
  <si>
    <t>Experience Studio‑Grade Sound — Built for True Audio Enthusiasts
Overview
Designed for tech‑savvy listeners who demand precision, these premium headphones deliver immersive sound with exceptional clarity across all frequencies. Whether you’re streaming hi‑res music, gaming, or taking calls, every detail is engineered for performance and comfort.
Key Features
High‑Resolution Audio Drivers:** Tuned for deep bass, crisp mids, and ultra‑clear highs for an authentic soundstage Advanced Noise Isolation:** Minimises ambient noise so you can focus on pure audio
Low‑Latency Performance:** Ideal for gaming and video—audio stays perfectly in sync
Premium Build &amp; Comfort:** Lightweight yet durable design with cushioned ear cups for long listening sessions
Seamless Connectivity:** Stable, fast pairing with smartphones, laptops, and other devices
What Customers Are Saying
⭐ 5/5 Rating | Verified Buyer from Assam**  
"Highly recommend!” — Praised for sound quality, comfort, and overall performance.
Premium Sound, Smart Value
Available now for Rs. 38,145, these headphones offer flagship‑level audio and build quality worthy of discerning users who won’t compromise.
Buy Now**
👉 **Upgrade your listening experience today—order now on Amazon and hear the difference.**</t>
  </si>
  <si>
    <t xml:space="preserve"> Premium Wireless Headphones Experience powerful sound and all‑day comfort with headphones designed for music lovers, gamers, and busy lifestyles alike. Crafted with advanced audio technology and a sleek, modern design, these headphones deliver immersive sound wherever you go.
🎧 Key Features
Rich, Balanced Sound – Deep bass, clear mids, and crisp highs for an immersive listening experience
Comfort Fit Design – Soft ear cushions and an adjustable headband for long listening sessions
Wireless Convenience – Stable Bluetooth connectivity with extended range
Long Battery Life – Enjoy hours of uninterrupted playback on a single charge
Built‑in Microphone – Crystal‑clear calls and easy voice control
Foldable &amp; Lightweight – Perfect for travel, work, and everyday use
 🔊 Designed for Every Moment
Whether you're commuting, working out, gaming, or relaxing, these headphones provide exceptional sound quality and comfort without compromise.
Upgrade your listening experience with headphones that combine performance, style, and reliability</t>
  </si>
  <si>
    <t>ContentAlchemy — Prompt Effectiveness Summary Dashboard</t>
  </si>
  <si>
    <t>Scores auto-calculate from AB Scoring Sheet — fill in yellow cells first!</t>
  </si>
  <si>
    <t>Metric</t>
  </si>
  <si>
    <t>Structured Avg</t>
  </si>
  <si>
    <t>Generic Avg</t>
  </si>
  <si>
    <t>Difference</t>
  </si>
  <si>
    <t>Winner</t>
  </si>
  <si>
    <t>What It Measures</t>
  </si>
  <si>
    <t>Contextual Accuracy</t>
  </si>
  <si>
    <t>Does output mention correct product, price, and state?</t>
  </si>
  <si>
    <t>Sentiment Alignment</t>
  </si>
  <si>
    <t>Does the tone match the customer's review feeling?</t>
  </si>
  <si>
    <t>CTA Strength</t>
  </si>
  <si>
    <t>Is there a clear Buy Now or Shop Now call-to-action?</t>
  </si>
  <si>
    <t>Personalization</t>
  </si>
  <si>
    <t>Does it feel tailored to the region or customer persona?</t>
  </si>
  <si>
    <t>OVERALL SCORE</t>
  </si>
  <si>
    <t>Higher score = Structured prompts win overall</t>
  </si>
  <si>
    <t>SCORING GUIDE — How to score each output (1 = Poor to 5 = Excellent)</t>
  </si>
  <si>
    <t>Score 5</t>
  </si>
  <si>
    <t>Perfect — mentions product, price, state, uses actual review text, has strong CTA</t>
  </si>
  <si>
    <t>Score 4</t>
  </si>
  <si>
    <t>Good — most details present, CTA exists, tone mostly matches</t>
  </si>
  <si>
    <t>Score 3</t>
  </si>
  <si>
    <t>Average — some details missing, weak CTA, tone partially right</t>
  </si>
  <si>
    <t>Score 2</t>
  </si>
  <si>
    <t>Poor — generic copy, no personalization, no clear CTA</t>
  </si>
  <si>
    <t>Score 1</t>
  </si>
  <si>
    <t>Very Poor — completely off-topic, irrelevant, or no meaningful output</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</si>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</sst>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20" x14ac:knownFonts="1">
    <font>
      <sz val="11"/>
      <color theme="1"/>
      <name val="Calibri"/>
      <family val="2"/>
      <scheme val="minor"/>
    </font>
    <font>
      <b/>
      <sz val="13"/>
      <color rgb="FFFFFFFF"/>
      <name val="Arial"/>
    </font>
    <font>
      <b/>
      <sz val="10"/>
      <color rgb="FFFFFFFF"/>
      <name val="Arial"/>
    </font>
    <font>
      <sz val="10"/>
      <color rgb="FF000000"/>
      <name val="Arial"/>
    </font>
    <font>
      <b/>
      <sz val="10"/>
      <color rgb="FF276221"/>
      <name val="Arial"/>
    </font>
    <font>
      <b/>
      <sz val="10"/>
      <color rgb="FF9C0006"/>
      <name val="Arial"/>
    </font>
    <font>
      <b/>
      <sz val="11"/>
      <color rgb="FF000000"/>
      <name val="Arial"/>
    </font>
    <font>
      <i/>
      <sz val="10"/>
      <color rgb="FF2E75B6"/>
      <name val="Arial"/>
    </font>
    <font>
      <sz val="11"/>
      <color rgb="FF276221"/>
      <name val="Arial"/>
    </font>
    <font>
      <sz val="11"/>
      <color rgb="FF9C0006"/>
      <name val="Arial"/>
    </font>
    <font>
      <b/>
      <sz val="10"/>
      <color rgb="FF000000"/>
      <name val="Arial"/>
    </font>
    <font>
      <i/>
      <sz val="10"/>
      <color rgb="FF555555"/>
      <name val="Arial"/>
    </font>
    <font>
      <b/>
      <sz val="11"/>
      <color rgb="FF276221"/>
      <name val="Arial"/>
    </font>
    <font>
      <b/>
      <sz val="11"/>
      <color rgb="FF9C0006"/>
      <name val="Arial"/>
    </font>
    <font>
      <sz val="10"/>
      <color rgb="FF333333"/>
      <name val="Arial"/>
    </font>
    <font>
      <b/>
      <sz val="10"/>
      <color rgb="FF9C5700"/>
      <name val="Arial"/>
    </font>
    <font>
      <sz val="9"/>
      <name val="Arial"/>
    </font>
    <font>
      <b/>
      <sz val="12"/>
      <color rgb="FF276221"/>
      <name val="Arial"/>
    </font>
    <font>
      <b/>
      <sz val="12"/>
      <color rgb="FF9C0006"/>
      <name val="Arial"/>
    </font>
    <font>
      <b/>
      <sz val="12"/>
      <color rgb="FF9C5700"/>
      <name val="Arial"/>
    </font>
  </fonts>
  <fills count="13">
    <fill>
      <patternFill patternType="none"/>
    </fill>
    <fill>
      <patternFill patternType="gray125"/>
    </fill>
    <fill>
      <patternFill patternType="solid">
        <fgColor rgb="FF1F3864"/>
      </patternFill>
    </fill>
    <fill>
      <patternFill patternType="solid">
        <fgColor rgb="FF2E75B6"/>
      </patternFill>
    </fill>
    <fill>
      <patternFill patternType="solid">
        <fgColor rgb="FFEBF3FB"/>
      </patternFill>
    </fill>
    <fill>
      <patternFill patternType="solid">
        <fgColor rgb="FFC6EFCE"/>
      </patternFill>
    </fill>
    <fill>
      <patternFill patternType="solid">
        <fgColor rgb="FFFFFFFF"/>
      </patternFill>
    </fill>
    <fill>
      <patternFill patternType="solid">
        <fgColor rgb="FFFFC7CE"/>
      </patternFill>
    </fill>
    <fill>
      <patternFill patternType="solid">
        <fgColor rgb="FFE97132"/>
      </patternFill>
    </fill>
    <fill>
      <patternFill patternType="solid">
        <fgColor rgb="FFF2F2F2"/>
      </patternFill>
    </fill>
    <fill>
      <patternFill patternType="solid">
        <fgColor rgb="FFFFEB9C"/>
      </patternFill>
    </fill>
    <fill>
      <patternFill patternType="solid">
        <fgColor rgb="FFD9EAD3"/>
      </patternFill>
    </fill>
    <fill>
      <patternFill patternType="solid">
        <fgColor rgb="FFFFD9CE"/>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45">
    <xf numFmtId="0" fontId="0" fillId="0" borderId="0" xfId="0"/>
    <xf numFmtId="0" fontId="2" fillId="3" borderId="1" xfId="0" applyFont="1" applyFill="1" applyBorder="1" applyAlignment="1">
      <alignment horizontal="center" vertical="center"/>
    </xf>
    <xf numFmtId="0" fontId="3" fillId="4" borderId="1" xfId="0" applyFont="1" applyFill="1" applyBorder="1" applyAlignment="1">
      <alignment horizontal="left" vertical="center"/>
    </xf>
    <xf numFmtId="4" fontId="3" fillId="4" borderId="1" xfId="0" applyNumberFormat="1" applyFont="1" applyFill="1" applyBorder="1" applyAlignment="1">
      <alignment horizontal="left" vertical="center"/>
    </xf>
    <xf numFmtId="0" fontId="4" fillId="5" borderId="1" xfId="0" applyFont="1" applyFill="1" applyBorder="1" applyAlignment="1">
      <alignment horizontal="left" vertical="center"/>
    </xf>
    <xf numFmtId="0" fontId="3" fillId="6" borderId="1" xfId="0" applyFont="1" applyFill="1" applyBorder="1" applyAlignment="1">
      <alignment horizontal="left" vertical="center"/>
    </xf>
    <xf numFmtId="4" fontId="3" fillId="6" borderId="1" xfId="0" applyNumberFormat="1" applyFont="1" applyFill="1" applyBorder="1" applyAlignment="1">
      <alignment horizontal="left" vertical="center"/>
    </xf>
    <xf numFmtId="0" fontId="5" fillId="7" borderId="1" xfId="0" applyFont="1" applyFill="1" applyBorder="1" applyAlignment="1">
      <alignment horizontal="left" vertical="center"/>
    </xf>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3" fillId="4" borderId="1" xfId="0" applyFont="1" applyFill="1" applyBorder="1" applyAlignment="1">
      <alignment horizontal="left" vertical="center" wrapText="1"/>
    </xf>
    <xf numFmtId="0" fontId="3"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3" fillId="6"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164" fontId="6" fillId="4" borderId="1" xfId="0" applyNumberFormat="1" applyFont="1" applyFill="1" applyBorder="1" applyAlignment="1">
      <alignment horizontal="center" vertical="center"/>
    </xf>
    <xf numFmtId="0" fontId="0" fillId="9" borderId="1" xfId="0" applyFill="1" applyBorder="1" applyAlignment="1">
      <alignment horizontal="center" vertical="center"/>
    </xf>
    <xf numFmtId="164" fontId="8" fillId="5" borderId="1" xfId="0" applyNumberFormat="1" applyFont="1" applyFill="1" applyBorder="1" applyAlignment="1">
      <alignment horizontal="center" vertical="center"/>
    </xf>
    <xf numFmtId="164" fontId="9" fillId="7" borderId="1" xfId="0" applyNumberFormat="1" applyFont="1" applyFill="1" applyBorder="1" applyAlignment="1">
      <alignment horizontal="center" vertical="center"/>
    </xf>
    <xf numFmtId="165" fontId="6" fillId="10" borderId="1" xfId="0" applyNumberFormat="1" applyFont="1" applyFill="1" applyBorder="1" applyAlignment="1">
      <alignment horizontal="center" vertical="center"/>
    </xf>
    <xf numFmtId="0" fontId="10" fillId="4" borderId="1" xfId="0" applyFont="1" applyFill="1" applyBorder="1" applyAlignment="1">
      <alignment horizontal="center" vertical="center"/>
    </xf>
    <xf numFmtId="0" fontId="11" fillId="4" borderId="1" xfId="0" applyFont="1" applyFill="1" applyBorder="1" applyAlignment="1">
      <alignment horizontal="left" vertical="center" wrapText="1"/>
    </xf>
    <xf numFmtId="0" fontId="10" fillId="6" borderId="1" xfId="0" applyFont="1" applyFill="1" applyBorder="1" applyAlignment="1">
      <alignment horizontal="center" vertical="center"/>
    </xf>
    <xf numFmtId="0" fontId="11" fillId="6" borderId="1" xfId="0" applyFont="1" applyFill="1" applyBorder="1" applyAlignment="1">
      <alignment horizontal="left" vertical="center" wrapText="1"/>
    </xf>
    <xf numFmtId="0" fontId="10" fillId="4" borderId="1" xfId="0" applyFont="1" applyFill="1" applyBorder="1" applyAlignment="1">
      <alignment horizontal="left" vertical="center"/>
    </xf>
    <xf numFmtId="164" fontId="12" fillId="5" borderId="1" xfId="0" applyNumberFormat="1" applyFont="1" applyFill="1" applyBorder="1" applyAlignment="1">
      <alignment horizontal="center" vertical="center"/>
    </xf>
    <xf numFmtId="164" fontId="13" fillId="7" borderId="1" xfId="0" applyNumberFormat="1" applyFont="1" applyFill="1" applyBorder="1" applyAlignment="1">
      <alignment horizontal="center" vertical="center"/>
    </xf>
    <xf numFmtId="0" fontId="16" fillId="4" borderId="1" xfId="0" applyFont="1" applyFill="1" applyBorder="1" applyAlignment="1">
      <alignment horizontal="left" vertical="top" wrapText="1"/>
    </xf>
    <xf numFmtId="0" fontId="16" fillId="6" borderId="1" xfId="0" applyFont="1" applyFill="1" applyBorder="1" applyAlignment="1">
      <alignment horizontal="left" vertical="top" wrapText="1"/>
    </xf>
    <xf numFmtId="0" fontId="17" fillId="5" borderId="1" xfId="0" applyFont="1" applyFill="1" applyBorder="1" applyAlignment="1">
      <alignment horizontal="center" vertical="center"/>
    </xf>
    <xf numFmtId="0" fontId="18" fillId="7" borderId="1" xfId="0" applyFont="1" applyFill="1" applyBorder="1" applyAlignment="1">
      <alignment horizontal="center" vertical="center"/>
    </xf>
    <xf numFmtId="0" fontId="19" fillId="10" borderId="1"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2" xfId="0" applyBorder="1"/>
    <xf numFmtId="0" fontId="0" fillId="0" borderId="3" xfId="0" applyBorder="1"/>
    <xf numFmtId="0" fontId="2" fillId="3" borderId="1" xfId="0" applyFont="1" applyFill="1" applyBorder="1" applyAlignment="1">
      <alignment horizontal="center" vertical="center"/>
    </xf>
    <xf numFmtId="0" fontId="2" fillId="8" borderId="1" xfId="0" applyFont="1" applyFill="1" applyBorder="1" applyAlignment="1">
      <alignment horizontal="center" vertical="center"/>
    </xf>
    <xf numFmtId="0" fontId="14" fillId="6" borderId="1" xfId="0" applyFont="1" applyFill="1" applyBorder="1" applyAlignment="1">
      <alignment horizontal="left" vertical="center"/>
    </xf>
    <xf numFmtId="0" fontId="15" fillId="10" borderId="1" xfId="0" applyFont="1" applyFill="1" applyBorder="1" applyAlignment="1">
      <alignment horizontal="center" vertical="center"/>
    </xf>
    <xf numFmtId="0" fontId="5" fillId="12" borderId="1" xfId="0" applyFont="1" applyFill="1" applyBorder="1" applyAlignment="1">
      <alignment horizontal="center" vertical="center"/>
    </xf>
    <xf numFmtId="0" fontId="14" fillId="4" borderId="1" xfId="0" applyFont="1" applyFill="1" applyBorder="1" applyAlignment="1">
      <alignment horizontal="left" vertical="center"/>
    </xf>
    <xf numFmtId="0" fontId="4" fillId="11" borderId="1" xfId="0" applyFont="1" applyFill="1" applyBorder="1" applyAlignment="1">
      <alignment horizontal="center" vertical="center"/>
    </xf>
    <xf numFmtId="0" fontId="7" fillId="4" borderId="1" xfId="0" applyFont="1" applyFill="1" applyBorder="1" applyAlignment="1">
      <alignment horizontal="center" vertical="center"/>
    </xf>
    <xf numFmtId="0" fontId="5" fillId="7" borderId="1" xfId="0" applyFont="1" applyFill="1" applyBorder="1" applyAlignment="1">
      <alignment horizontal="center" vertical="center"/>
    </xf>
    <xf numFmtId="0" fontId="4" fillId="5"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workbookViewId="0">
      <selection sqref="A1:H1"/>
    </sheetView>
  </sheetViews>
  <sheetFormatPr defaultRowHeight="14.4" x14ac:dyDescent="0.3"/>
  <cols>
    <col min="1" max="1" width="8" customWidth="1"/>
    <col min="2" max="2" width="18" customWidth="1"/>
    <col min="3" max="3" width="16" customWidth="1"/>
    <col min="4" max="4" width="20" customWidth="1"/>
    <col min="5" max="5" width="15" customWidth="1"/>
    <col min="6" max="6" width="14" customWidth="1"/>
    <col min="7" max="7" width="28" customWidth="1"/>
    <col min="8" max="8" width="15" customWidth="1"/>
  </cols>
  <sheetData>
    <row r="1" spans="1:8" ht="30" customHeight="1" x14ac:dyDescent="0.3">
      <c r="A1" s="32" t="s">
        <v>0</v>
      </c>
      <c r="B1" s="33"/>
      <c r="C1" s="33"/>
      <c r="D1" s="33"/>
      <c r="E1" s="33"/>
      <c r="F1" s="33"/>
      <c r="G1" s="33"/>
      <c r="H1" s="34"/>
    </row>
    <row r="2" spans="1:8" ht="22.05" customHeight="1" x14ac:dyDescent="0.3">
      <c r="A2" s="1" t="s">
        <v>1</v>
      </c>
      <c r="B2" s="1" t="s">
        <v>2</v>
      </c>
      <c r="C2" s="1" t="s">
        <v>3</v>
      </c>
      <c r="D2" s="1" t="s">
        <v>4</v>
      </c>
      <c r="E2" s="1" t="s">
        <v>5</v>
      </c>
      <c r="F2" s="1" t="s">
        <v>6</v>
      </c>
      <c r="G2" s="1" t="s">
        <v>7</v>
      </c>
      <c r="H2" s="1" t="s">
        <v>8</v>
      </c>
    </row>
    <row r="3" spans="1:8" x14ac:dyDescent="0.3">
      <c r="A3" s="2">
        <v>1</v>
      </c>
      <c r="B3" s="2" t="s">
        <v>9</v>
      </c>
      <c r="C3" s="2" t="s">
        <v>10</v>
      </c>
      <c r="D3" s="2" t="s">
        <v>11</v>
      </c>
      <c r="E3" s="3">
        <v>12195.41</v>
      </c>
      <c r="F3" s="4">
        <v>5</v>
      </c>
      <c r="G3" s="2" t="s">
        <v>12</v>
      </c>
      <c r="H3" s="2" t="s">
        <v>13</v>
      </c>
    </row>
    <row r="4" spans="1:8" x14ac:dyDescent="0.3">
      <c r="A4" s="5">
        <v>2</v>
      </c>
      <c r="B4" s="5" t="s">
        <v>9</v>
      </c>
      <c r="C4" s="5" t="s">
        <v>10</v>
      </c>
      <c r="D4" s="5" t="s">
        <v>14</v>
      </c>
      <c r="E4" s="6">
        <v>25574.41</v>
      </c>
      <c r="F4" s="7">
        <v>1</v>
      </c>
      <c r="G4" s="5" t="s">
        <v>15</v>
      </c>
      <c r="H4" s="5" t="s">
        <v>16</v>
      </c>
    </row>
    <row r="5" spans="1:8" x14ac:dyDescent="0.3">
      <c r="A5" s="2">
        <v>3</v>
      </c>
      <c r="B5" s="2" t="s">
        <v>17</v>
      </c>
      <c r="C5" s="2" t="s">
        <v>18</v>
      </c>
      <c r="D5" s="2" t="s">
        <v>19</v>
      </c>
      <c r="E5" s="3">
        <v>19361.41</v>
      </c>
      <c r="F5" s="4">
        <v>5</v>
      </c>
      <c r="G5" s="2" t="s">
        <v>20</v>
      </c>
      <c r="H5" s="2" t="s">
        <v>16</v>
      </c>
    </row>
    <row r="6" spans="1:8" x14ac:dyDescent="0.3">
      <c r="A6" s="5">
        <v>4</v>
      </c>
      <c r="B6" s="5" t="s">
        <v>17</v>
      </c>
      <c r="C6" s="5" t="s">
        <v>18</v>
      </c>
      <c r="D6" s="5" t="s">
        <v>21</v>
      </c>
      <c r="E6" s="6">
        <v>46303.040000000001</v>
      </c>
      <c r="F6" s="7">
        <v>2</v>
      </c>
      <c r="G6" s="5" t="s">
        <v>22</v>
      </c>
      <c r="H6" s="5" t="s">
        <v>13</v>
      </c>
    </row>
    <row r="7" spans="1:8" x14ac:dyDescent="0.3">
      <c r="A7" s="2">
        <v>5</v>
      </c>
      <c r="B7" s="2" t="s">
        <v>23</v>
      </c>
      <c r="C7" s="2" t="s">
        <v>24</v>
      </c>
      <c r="D7" s="2" t="s">
        <v>25</v>
      </c>
      <c r="E7" s="3">
        <v>38145.72</v>
      </c>
      <c r="F7" s="4">
        <v>5</v>
      </c>
      <c r="G7" s="2" t="s">
        <v>26</v>
      </c>
      <c r="H7" s="2" t="s">
        <v>13</v>
      </c>
    </row>
  </sheetData>
  <mergeCells count="1">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selection activeCell="A2" sqref="A2"/>
    </sheetView>
  </sheetViews>
  <sheetFormatPr defaultRowHeight="14.4" x14ac:dyDescent="0.3"/>
  <cols>
    <col min="1" max="1" width="8" customWidth="1"/>
    <col min="2" max="2" width="14" customWidth="1"/>
    <col min="3" max="3" width="90" customWidth="1"/>
  </cols>
  <sheetData>
    <row r="1" spans="1:3" ht="30" customHeight="1" x14ac:dyDescent="0.3">
      <c r="A1" s="32" t="s">
        <v>27</v>
      </c>
      <c r="B1" s="33"/>
      <c r="C1" s="34"/>
    </row>
    <row r="2" spans="1:3" x14ac:dyDescent="0.3">
      <c r="A2" s="1"/>
      <c r="B2" s="1" t="s">
        <v>28</v>
      </c>
      <c r="C2" s="1"/>
    </row>
    <row r="3" spans="1:3" ht="115.05" customHeight="1" x14ac:dyDescent="0.3">
      <c r="A3" s="8">
        <v>1</v>
      </c>
      <c r="B3" s="9" t="s">
        <v>29</v>
      </c>
      <c r="C3" s="10" t="s">
        <v>30</v>
      </c>
    </row>
    <row r="4" spans="1:3" ht="115.05" customHeight="1" x14ac:dyDescent="0.3">
      <c r="A4" s="11">
        <v>1</v>
      </c>
      <c r="B4" s="12" t="s">
        <v>31</v>
      </c>
      <c r="C4" s="13" t="s">
        <v>32</v>
      </c>
    </row>
    <row r="5" spans="1:3" ht="115.05" customHeight="1" x14ac:dyDescent="0.3">
      <c r="A5" s="8">
        <v>2</v>
      </c>
      <c r="B5" s="9" t="s">
        <v>29</v>
      </c>
      <c r="C5" s="10" t="s">
        <v>33</v>
      </c>
    </row>
    <row r="6" spans="1:3" ht="115.05" customHeight="1" x14ac:dyDescent="0.3">
      <c r="A6" s="11">
        <v>2</v>
      </c>
      <c r="B6" s="12" t="s">
        <v>31</v>
      </c>
      <c r="C6" s="13" t="s">
        <v>34</v>
      </c>
    </row>
    <row r="7" spans="1:3" ht="115.05" customHeight="1" x14ac:dyDescent="0.3">
      <c r="A7" s="8">
        <v>3</v>
      </c>
      <c r="B7" s="9" t="s">
        <v>29</v>
      </c>
      <c r="C7" s="10" t="s">
        <v>35</v>
      </c>
    </row>
    <row r="8" spans="1:3" ht="115.05" customHeight="1" x14ac:dyDescent="0.3">
      <c r="A8" s="11">
        <v>3</v>
      </c>
      <c r="B8" s="12" t="s">
        <v>31</v>
      </c>
      <c r="C8" s="13" t="s">
        <v>36</v>
      </c>
    </row>
    <row r="9" spans="1:3" ht="115.05" customHeight="1" x14ac:dyDescent="0.3">
      <c r="A9" s="8">
        <v>4</v>
      </c>
      <c r="B9" s="9" t="s">
        <v>29</v>
      </c>
      <c r="C9" s="10" t="s">
        <v>37</v>
      </c>
    </row>
    <row r="10" spans="1:3" ht="115.05" customHeight="1" x14ac:dyDescent="0.3">
      <c r="A10" s="11">
        <v>4</v>
      </c>
      <c r="B10" s="12" t="s">
        <v>31</v>
      </c>
      <c r="C10" s="13" t="s">
        <v>38</v>
      </c>
    </row>
    <row r="11" spans="1:3" ht="115.05" customHeight="1" x14ac:dyDescent="0.3">
      <c r="A11" s="8">
        <v>5</v>
      </c>
      <c r="B11" s="9" t="s">
        <v>29</v>
      </c>
      <c r="C11" s="10" t="s">
        <v>39</v>
      </c>
    </row>
    <row r="12" spans="1:3" ht="115.05" customHeight="1" x14ac:dyDescent="0.3">
      <c r="A12" s="11">
        <v>5</v>
      </c>
      <c r="B12" s="12" t="s">
        <v>31</v>
      </c>
      <c r="C12" s="13" t="s">
        <v>40</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3"/>
  <sheetViews>
    <sheetView workbookViewId="0">
      <selection activeCell="K13" sqref="K13"/>
    </sheetView>
  </sheetViews>
  <sheetFormatPr defaultRowHeight="14.4" x14ac:dyDescent="0.3"/>
  <cols>
    <col min="1" max="1" width="7" customWidth="1"/>
    <col min="2" max="2" width="16" customWidth="1"/>
    <col min="3" max="3" width="13" customWidth="1"/>
    <col min="4" max="4" width="18" customWidth="1"/>
    <col min="5" max="5" width="42" customWidth="1"/>
    <col min="6" max="7" width="12" customWidth="1"/>
    <col min="8" max="8" width="10" customWidth="1"/>
    <col min="9" max="9" width="12" customWidth="1"/>
    <col min="10" max="11" width="10" customWidth="1"/>
  </cols>
  <sheetData>
    <row r="1" spans="1:11" ht="30" customHeight="1" x14ac:dyDescent="0.3">
      <c r="A1" s="32" t="s">
        <v>41</v>
      </c>
      <c r="B1" s="33"/>
      <c r="C1" s="33"/>
      <c r="D1" s="33"/>
      <c r="E1" s="33"/>
      <c r="F1" s="33"/>
      <c r="G1" s="33"/>
      <c r="H1" s="33"/>
      <c r="I1" s="33"/>
      <c r="J1" s="33"/>
      <c r="K1" s="34"/>
    </row>
    <row r="2" spans="1:11" x14ac:dyDescent="0.3">
      <c r="A2" s="35" t="s">
        <v>42</v>
      </c>
      <c r="B2" s="34"/>
      <c r="C2" s="35" t="s">
        <v>43</v>
      </c>
      <c r="D2" s="34"/>
      <c r="E2" s="1" t="s">
        <v>44</v>
      </c>
      <c r="F2" s="36" t="s">
        <v>45</v>
      </c>
      <c r="G2" s="33"/>
      <c r="H2" s="33"/>
      <c r="I2" s="34"/>
      <c r="J2" s="35" t="s">
        <v>46</v>
      </c>
      <c r="K2" s="34"/>
    </row>
    <row r="3" spans="1:11" ht="49.95" customHeight="1" x14ac:dyDescent="0.3">
      <c r="A3" s="14" t="s">
        <v>1</v>
      </c>
      <c r="B3" s="14" t="s">
        <v>47</v>
      </c>
      <c r="C3" s="14" t="s">
        <v>28</v>
      </c>
      <c r="D3" s="14" t="s">
        <v>48</v>
      </c>
      <c r="E3" s="14" t="s">
        <v>49</v>
      </c>
      <c r="F3" s="14" t="s">
        <v>50</v>
      </c>
      <c r="G3" s="14" t="s">
        <v>51</v>
      </c>
      <c r="H3" s="14" t="s">
        <v>52</v>
      </c>
      <c r="I3" s="14" t="s">
        <v>53</v>
      </c>
      <c r="J3" s="14" t="s">
        <v>54</v>
      </c>
      <c r="K3" s="14" t="s">
        <v>55</v>
      </c>
    </row>
    <row r="4" spans="1:11" ht="130.05000000000001" customHeight="1" x14ac:dyDescent="0.3">
      <c r="A4" s="8">
        <v>1</v>
      </c>
      <c r="B4" s="2" t="s">
        <v>10</v>
      </c>
      <c r="C4" s="9" t="s">
        <v>29</v>
      </c>
      <c r="D4" s="10" t="s">
        <v>56</v>
      </c>
      <c r="E4" s="27" t="s">
        <v>57</v>
      </c>
      <c r="F4" s="29">
        <v>5</v>
      </c>
      <c r="G4" s="29">
        <v>5</v>
      </c>
      <c r="H4" s="29">
        <v>5</v>
      </c>
      <c r="I4" s="29">
        <v>4</v>
      </c>
      <c r="J4" s="15">
        <f t="shared" ref="J4:J13" si="0">IFERROR(AVERAGE(F4:I4),"")</f>
        <v>4.75</v>
      </c>
      <c r="K4" s="16" t="s">
        <v>99</v>
      </c>
    </row>
    <row r="5" spans="1:11" ht="130.05000000000001" customHeight="1" x14ac:dyDescent="0.3">
      <c r="A5" s="8">
        <v>1</v>
      </c>
      <c r="B5" s="2" t="s">
        <v>10</v>
      </c>
      <c r="C5" s="12" t="s">
        <v>31</v>
      </c>
      <c r="D5" s="10" t="s">
        <v>56</v>
      </c>
      <c r="E5" s="27" t="s">
        <v>58</v>
      </c>
      <c r="F5" s="30">
        <v>2</v>
      </c>
      <c r="G5" s="31">
        <v>3</v>
      </c>
      <c r="H5" s="31">
        <v>3</v>
      </c>
      <c r="I5" s="30">
        <v>1</v>
      </c>
      <c r="J5" s="15">
        <f t="shared" si="0"/>
        <v>2.25</v>
      </c>
      <c r="K5" s="16" t="s">
        <v>99</v>
      </c>
    </row>
    <row r="6" spans="1:11" ht="130.05000000000001" customHeight="1" x14ac:dyDescent="0.3">
      <c r="A6" s="11">
        <v>2</v>
      </c>
      <c r="B6" s="5" t="s">
        <v>10</v>
      </c>
      <c r="C6" s="9" t="s">
        <v>29</v>
      </c>
      <c r="D6" s="13" t="s">
        <v>59</v>
      </c>
      <c r="E6" s="28" t="s">
        <v>60</v>
      </c>
      <c r="F6" s="29">
        <v>5</v>
      </c>
      <c r="G6" s="29">
        <v>5</v>
      </c>
      <c r="H6" s="29">
        <v>4</v>
      </c>
      <c r="I6" s="29">
        <v>5</v>
      </c>
      <c r="J6" s="15">
        <f t="shared" si="0"/>
        <v>4.75</v>
      </c>
      <c r="K6" s="16" t="s">
        <v>99</v>
      </c>
    </row>
    <row r="7" spans="1:11" ht="130.05000000000001" customHeight="1" x14ac:dyDescent="0.3">
      <c r="A7" s="11">
        <v>2</v>
      </c>
      <c r="B7" s="5" t="s">
        <v>10</v>
      </c>
      <c r="C7" s="12" t="s">
        <v>31</v>
      </c>
      <c r="D7" s="13" t="s">
        <v>59</v>
      </c>
      <c r="E7" s="28" t="s">
        <v>61</v>
      </c>
      <c r="F7" s="30">
        <v>2</v>
      </c>
      <c r="G7" s="31">
        <v>3</v>
      </c>
      <c r="H7" s="30">
        <v>2</v>
      </c>
      <c r="I7" s="30">
        <v>1</v>
      </c>
      <c r="J7" s="15">
        <f t="shared" si="0"/>
        <v>2</v>
      </c>
      <c r="K7" s="16" t="s">
        <v>99</v>
      </c>
    </row>
    <row r="8" spans="1:11" ht="130.05000000000001" customHeight="1" x14ac:dyDescent="0.3">
      <c r="A8" s="8">
        <v>3</v>
      </c>
      <c r="B8" s="2" t="s">
        <v>18</v>
      </c>
      <c r="C8" s="9" t="s">
        <v>29</v>
      </c>
      <c r="D8" s="10" t="s">
        <v>56</v>
      </c>
      <c r="E8" s="27" t="s">
        <v>62</v>
      </c>
      <c r="F8" s="29">
        <v>5</v>
      </c>
      <c r="G8" s="29">
        <v>5</v>
      </c>
      <c r="H8" s="29">
        <v>5</v>
      </c>
      <c r="I8" s="29">
        <v>4</v>
      </c>
      <c r="J8" s="15">
        <f t="shared" si="0"/>
        <v>4.75</v>
      </c>
      <c r="K8" s="16" t="s">
        <v>99</v>
      </c>
    </row>
    <row r="9" spans="1:11" ht="130.05000000000001" customHeight="1" x14ac:dyDescent="0.3">
      <c r="A9" s="8">
        <v>3</v>
      </c>
      <c r="B9" s="2" t="s">
        <v>18</v>
      </c>
      <c r="C9" s="12" t="s">
        <v>31</v>
      </c>
      <c r="D9" s="10" t="s">
        <v>56</v>
      </c>
      <c r="E9" s="27" t="s">
        <v>63</v>
      </c>
      <c r="F9" s="30">
        <v>2</v>
      </c>
      <c r="G9" s="31">
        <v>3</v>
      </c>
      <c r="H9" s="31">
        <v>3</v>
      </c>
      <c r="I9" s="30">
        <v>1</v>
      </c>
      <c r="J9" s="15">
        <f t="shared" si="0"/>
        <v>2.25</v>
      </c>
      <c r="K9" s="16" t="s">
        <v>99</v>
      </c>
    </row>
    <row r="10" spans="1:11" ht="130.05000000000001" customHeight="1" x14ac:dyDescent="0.3">
      <c r="A10" s="11">
        <v>4</v>
      </c>
      <c r="B10" s="5" t="s">
        <v>18</v>
      </c>
      <c r="C10" s="9" t="s">
        <v>29</v>
      </c>
      <c r="D10" s="13" t="s">
        <v>64</v>
      </c>
      <c r="E10" s="28" t="s">
        <v>65</v>
      </c>
      <c r="F10" s="29">
        <v>5</v>
      </c>
      <c r="G10" s="29">
        <v>4</v>
      </c>
      <c r="H10" s="29">
        <v>4</v>
      </c>
      <c r="I10" s="29">
        <v>5</v>
      </c>
      <c r="J10" s="15">
        <f t="shared" si="0"/>
        <v>4.5</v>
      </c>
      <c r="K10" s="16" t="s">
        <v>99</v>
      </c>
    </row>
    <row r="11" spans="1:11" ht="130.05000000000001" customHeight="1" x14ac:dyDescent="0.3">
      <c r="A11" s="11">
        <v>4</v>
      </c>
      <c r="B11" s="5" t="s">
        <v>18</v>
      </c>
      <c r="C11" s="12" t="s">
        <v>31</v>
      </c>
      <c r="D11" s="13" t="s">
        <v>64</v>
      </c>
      <c r="E11" s="28" t="s">
        <v>66</v>
      </c>
      <c r="F11" s="30">
        <v>1</v>
      </c>
      <c r="G11" s="31">
        <v>3</v>
      </c>
      <c r="H11" s="30">
        <v>2</v>
      </c>
      <c r="I11" s="30">
        <v>1</v>
      </c>
      <c r="J11" s="15">
        <f t="shared" si="0"/>
        <v>1.75</v>
      </c>
      <c r="K11" s="16" t="s">
        <v>99</v>
      </c>
    </row>
    <row r="12" spans="1:11" ht="130.05000000000001" customHeight="1" x14ac:dyDescent="0.3">
      <c r="A12" s="8">
        <v>5</v>
      </c>
      <c r="B12" s="2" t="s">
        <v>24</v>
      </c>
      <c r="C12" s="9" t="s">
        <v>29</v>
      </c>
      <c r="D12" s="10" t="s">
        <v>67</v>
      </c>
      <c r="E12" s="27" t="s">
        <v>68</v>
      </c>
      <c r="F12" s="29">
        <v>5</v>
      </c>
      <c r="G12" s="29">
        <v>5</v>
      </c>
      <c r="H12" s="29">
        <v>5</v>
      </c>
      <c r="I12" s="29">
        <v>4</v>
      </c>
      <c r="J12" s="15">
        <f t="shared" si="0"/>
        <v>4.75</v>
      </c>
      <c r="K12" s="16" t="s">
        <v>99</v>
      </c>
    </row>
    <row r="13" spans="1:11" ht="130.05000000000001" customHeight="1" x14ac:dyDescent="0.3">
      <c r="A13" s="8">
        <v>5</v>
      </c>
      <c r="B13" s="2" t="s">
        <v>24</v>
      </c>
      <c r="C13" s="12" t="s">
        <v>31</v>
      </c>
      <c r="D13" s="10" t="s">
        <v>67</v>
      </c>
      <c r="E13" s="27" t="s">
        <v>69</v>
      </c>
      <c r="F13" s="30">
        <v>2</v>
      </c>
      <c r="G13" s="31">
        <v>3</v>
      </c>
      <c r="H13" s="31">
        <v>3</v>
      </c>
      <c r="I13" s="30">
        <v>1</v>
      </c>
      <c r="J13" s="15">
        <f t="shared" si="0"/>
        <v>2.25</v>
      </c>
      <c r="K13" s="16" t="s">
        <v>99</v>
      </c>
    </row>
  </sheetData>
  <mergeCells count="5">
    <mergeCell ref="A2:B2"/>
    <mergeCell ref="C2:D2"/>
    <mergeCell ref="J2:K2"/>
    <mergeCell ref="F2:I2"/>
    <mergeCell ref="A1:K1"/>
  </mergeCells>
  <conditionalFormatting sqref="F4:I13">
    <cfRule type="colorScale" priority="1">
      <colorScale>
        <cfvo type="num" val="1"/>
        <cfvo type="num" val="3"/>
        <cfvo type="num" val="5"/>
        <color rgb="FFFFC7CE"/>
        <color rgb="FFFFEB9C"/>
        <color rgb="FFC6EFCE"/>
      </colorScale>
    </cfRule>
  </conditionalFormatting>
  <conditionalFormatting sqref="J4:J13">
    <cfRule type="colorScale" priority="2">
      <colorScale>
        <cfvo type="num" val="1"/>
        <cfvo type="num" val="3"/>
        <cfvo type="num" val="5"/>
        <color rgb="FFFFC7CE"/>
        <color rgb="FFFFEB9C"/>
        <color rgb="FFC6EFCE"/>
      </colorScale>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
  <sheetViews>
    <sheetView workbookViewId="0">
      <selection activeCell="F4" sqref="F4"/>
    </sheetView>
  </sheetViews>
  <sheetFormatPr defaultRowHeight="14.4" x14ac:dyDescent="0.3"/>
  <cols>
    <col min="1" max="1" width="22" customWidth="1"/>
    <col min="2" max="2" width="16" customWidth="1"/>
    <col min="3" max="3" width="14" customWidth="1"/>
    <col min="4" max="4" width="13" customWidth="1"/>
    <col min="5" max="5" width="20" customWidth="1"/>
    <col min="6" max="6" width="42" customWidth="1"/>
  </cols>
  <sheetData>
    <row r="1" spans="1:6" ht="30" customHeight="1" x14ac:dyDescent="0.3">
      <c r="A1" s="32" t="s">
        <v>70</v>
      </c>
      <c r="B1" s="33"/>
      <c r="C1" s="33"/>
      <c r="D1" s="33"/>
      <c r="E1" s="33"/>
      <c r="F1" s="34"/>
    </row>
    <row r="2" spans="1:6" x14ac:dyDescent="0.3">
      <c r="A2" s="42" t="s">
        <v>71</v>
      </c>
      <c r="B2" s="33"/>
      <c r="C2" s="33"/>
      <c r="D2" s="33"/>
      <c r="E2" s="33"/>
      <c r="F2" s="34"/>
    </row>
    <row r="3" spans="1:6" ht="22.05" customHeight="1" x14ac:dyDescent="0.3">
      <c r="A3" s="1" t="s">
        <v>72</v>
      </c>
      <c r="B3" s="1" t="s">
        <v>73</v>
      </c>
      <c r="C3" s="1" t="s">
        <v>74</v>
      </c>
      <c r="D3" s="1" t="s">
        <v>75</v>
      </c>
      <c r="E3" s="1" t="s">
        <v>76</v>
      </c>
      <c r="F3" s="1" t="s">
        <v>77</v>
      </c>
    </row>
    <row r="4" spans="1:6" ht="26.4" x14ac:dyDescent="0.3">
      <c r="A4" s="2" t="s">
        <v>78</v>
      </c>
      <c r="B4" s="17">
        <f>IFERROR(AVERAGE('AB Scoring Sheet'!F4,'AB Scoring Sheet'!F6,'AB Scoring Sheet'!F8,'AB Scoring Sheet'!F10,'AB Scoring Sheet'!F12),"Fill scores first")</f>
        <v>5</v>
      </c>
      <c r="C4" s="18">
        <f>IFERROR(AVERAGE('AB Scoring Sheet'!F5,'AB Scoring Sheet'!F7,'AB Scoring Sheet'!F9,'AB Scoring Sheet'!F11,'AB Scoring Sheet'!F13),"Fill scores first")</f>
        <v>1.8</v>
      </c>
      <c r="D4" s="19">
        <f>IFERROR(B4-C4,"")</f>
        <v>3.2</v>
      </c>
      <c r="E4" s="20" t="str">
        <f>IFERROR(IF(B4&gt;C4,"STRUCTURED WINS","GENERIC WINS"),"")</f>
        <v>STRUCTURED WINS</v>
      </c>
      <c r="F4" s="21" t="s">
        <v>79</v>
      </c>
    </row>
    <row r="5" spans="1:6" ht="26.4" x14ac:dyDescent="0.3">
      <c r="A5" s="5" t="s">
        <v>80</v>
      </c>
      <c r="B5" s="17">
        <f>IFERROR(AVERAGE('AB Scoring Sheet'!G4,'AB Scoring Sheet'!G6,'AB Scoring Sheet'!G8,'AB Scoring Sheet'!G10,'AB Scoring Sheet'!G12),"Fill scores first")</f>
        <v>4.8</v>
      </c>
      <c r="C5" s="18">
        <f>IFERROR(AVERAGE('AB Scoring Sheet'!G5,'AB Scoring Sheet'!G7,'AB Scoring Sheet'!G9,'AB Scoring Sheet'!G11,'AB Scoring Sheet'!G13),"Fill scores first")</f>
        <v>3</v>
      </c>
      <c r="D5" s="19">
        <f>IFERROR(B5-C5,"")</f>
        <v>1.7999999999999998</v>
      </c>
      <c r="E5" s="22" t="str">
        <f>IFERROR(IF(B5&gt;C5,"STRUCTURED WINS","GENERIC WINS"),"")</f>
        <v>STRUCTURED WINS</v>
      </c>
      <c r="F5" s="23" t="s">
        <v>81</v>
      </c>
    </row>
    <row r="6" spans="1:6" ht="26.4" x14ac:dyDescent="0.3">
      <c r="A6" s="2" t="s">
        <v>82</v>
      </c>
      <c r="B6" s="17">
        <f>IFERROR(AVERAGE('AB Scoring Sheet'!H4,'AB Scoring Sheet'!H6,'AB Scoring Sheet'!H8,'AB Scoring Sheet'!H10,'AB Scoring Sheet'!H12),"Fill scores first")</f>
        <v>4.5999999999999996</v>
      </c>
      <c r="C6" s="18">
        <f>IFERROR(AVERAGE('AB Scoring Sheet'!H5,'AB Scoring Sheet'!H7,'AB Scoring Sheet'!H9,'AB Scoring Sheet'!H11,'AB Scoring Sheet'!H13),"Fill scores first")</f>
        <v>2.6</v>
      </c>
      <c r="D6" s="19">
        <f>IFERROR(B6-C6,"")</f>
        <v>1.9999999999999996</v>
      </c>
      <c r="E6" s="20" t="str">
        <f>IFERROR(IF(B6&gt;C6,"STRUCTURED WINS","GENERIC WINS"),"")</f>
        <v>STRUCTURED WINS</v>
      </c>
      <c r="F6" s="21" t="s">
        <v>83</v>
      </c>
    </row>
    <row r="7" spans="1:6" ht="26.4" x14ac:dyDescent="0.3">
      <c r="A7" s="5" t="s">
        <v>84</v>
      </c>
      <c r="B7" s="17">
        <f>IFERROR(AVERAGE('AB Scoring Sheet'!I4,'AB Scoring Sheet'!I6,'AB Scoring Sheet'!I8,'AB Scoring Sheet'!I10,'AB Scoring Sheet'!I12),"Fill scores first")</f>
        <v>4.4000000000000004</v>
      </c>
      <c r="C7" s="18">
        <f>IFERROR(AVERAGE('AB Scoring Sheet'!I5,'AB Scoring Sheet'!I7,'AB Scoring Sheet'!I9,'AB Scoring Sheet'!I11,'AB Scoring Sheet'!I13),"Fill scores first")</f>
        <v>1</v>
      </c>
      <c r="D7" s="19">
        <f>IFERROR(B7-C7,"")</f>
        <v>3.4000000000000004</v>
      </c>
      <c r="E7" s="22" t="str">
        <f>IFERROR(IF(B7&gt;C7,"STRUCTURED WINS","GENERIC WINS"),"")</f>
        <v>STRUCTURED WINS</v>
      </c>
      <c r="F7" s="23" t="s">
        <v>85</v>
      </c>
    </row>
    <row r="8" spans="1:6" x14ac:dyDescent="0.3">
      <c r="A8" s="24" t="s">
        <v>86</v>
      </c>
      <c r="B8" s="25">
        <f>IFERROR(AVERAGE(B4:B7),"")</f>
        <v>4.7</v>
      </c>
      <c r="C8" s="26">
        <f>IFERROR(AVERAGE(C4:C7),"")</f>
        <v>2.1</v>
      </c>
      <c r="D8" s="19">
        <f>IFERROR(B8-C8,"")</f>
        <v>2.6</v>
      </c>
      <c r="E8" s="20" t="str">
        <f>IFERROR(IF(B8&gt;C8,"STRUCTURED WINS","GENERIC WINS"),"")</f>
        <v>STRUCTURED WINS</v>
      </c>
      <c r="F8" s="21" t="s">
        <v>87</v>
      </c>
    </row>
    <row r="10" spans="1:6" x14ac:dyDescent="0.3">
      <c r="A10" s="36" t="s">
        <v>88</v>
      </c>
      <c r="B10" s="33"/>
      <c r="C10" s="33"/>
      <c r="D10" s="33"/>
      <c r="E10" s="33"/>
      <c r="F10" s="34"/>
    </row>
    <row r="11" spans="1:6" x14ac:dyDescent="0.3">
      <c r="A11" s="44" t="s">
        <v>89</v>
      </c>
      <c r="B11" s="34"/>
      <c r="C11" s="40" t="s">
        <v>90</v>
      </c>
      <c r="D11" s="33"/>
      <c r="E11" s="33"/>
      <c r="F11" s="34"/>
    </row>
    <row r="12" spans="1:6" x14ac:dyDescent="0.3">
      <c r="A12" s="41" t="s">
        <v>91</v>
      </c>
      <c r="B12" s="34"/>
      <c r="C12" s="37" t="s">
        <v>92</v>
      </c>
      <c r="D12" s="33"/>
      <c r="E12" s="33"/>
      <c r="F12" s="34"/>
    </row>
    <row r="13" spans="1:6" x14ac:dyDescent="0.3">
      <c r="A13" s="38" t="s">
        <v>93</v>
      </c>
      <c r="B13" s="34"/>
      <c r="C13" s="40" t="s">
        <v>94</v>
      </c>
      <c r="D13" s="33"/>
      <c r="E13" s="33"/>
      <c r="F13" s="34"/>
    </row>
    <row r="14" spans="1:6" x14ac:dyDescent="0.3">
      <c r="A14" s="39" t="s">
        <v>95</v>
      </c>
      <c r="B14" s="34"/>
      <c r="C14" s="37" t="s">
        <v>96</v>
      </c>
      <c r="D14" s="33"/>
      <c r="E14" s="33"/>
      <c r="F14" s="34"/>
    </row>
    <row r="15" spans="1:6" x14ac:dyDescent="0.3">
      <c r="A15" s="43" t="s">
        <v>97</v>
      </c>
      <c r="B15" s="34"/>
      <c r="C15" s="40" t="s">
        <v>98</v>
      </c>
      <c r="D15" s="33"/>
      <c r="E15" s="33"/>
      <c r="F15" s="34"/>
    </row>
  </sheetData>
  <mergeCells count="13">
    <mergeCell ref="A1:F1"/>
    <mergeCell ref="C12:F12"/>
    <mergeCell ref="A13:B13"/>
    <mergeCell ref="A14:B14"/>
    <mergeCell ref="C15:F15"/>
    <mergeCell ref="C11:F11"/>
    <mergeCell ref="C14:F14"/>
    <mergeCell ref="A12:B12"/>
    <mergeCell ref="C13:F13"/>
    <mergeCell ref="A2:F2"/>
    <mergeCell ref="A10:F10"/>
    <mergeCell ref="A15:B15"/>
    <mergeCell ref="A11:B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5 Selected Rows</vt:lpstr>
      <vt:lpstr>Prompt Library</vt:lpstr>
      <vt:lpstr>AB Scoring Sheet</vt:lpstr>
      <vt:lpstr>Summary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sanchi Mittal</cp:lastModifiedBy>
  <dcterms:created xsi:type="dcterms:W3CDTF">2026-04-05T23:26:40Z</dcterms:created>
  <dcterms:modified xsi:type="dcterms:W3CDTF">2026-04-09T14:10:50Z</dcterms:modified>
</cp:coreProperties>
</file>