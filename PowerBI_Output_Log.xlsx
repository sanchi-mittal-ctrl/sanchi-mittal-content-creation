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2BE6DC67-9D16-4A69-A908-B627B8ADA11D}" xr6:coauthVersionLast="47" xr6:coauthVersionMax="47" xr10:uidLastSave="{00000000-0000-0000-0000-000000000000}"/>
  <bookViews>
    <workbookView xWindow="-108" yWindow="-108" windowWidth="23256" windowHeight="12456" xr2:uid="{00000000-000D-0000-FFFF-FFFF00000000}"/>
  </bookViews>
  <sheets>
    <sheet name="Output Log" sheetId="1" r:id="rId1"/>
    <sheet name="Summary Stats" sheetId="2" r:id="rId2"/>
  </sheets>
  <calcPr calcId="191029"/>
</workbook>
</file>

<file path=xl/calcChain.xml><?xml version="1.0" encoding="utf-8"?>
<calcChain xmlns="http://schemas.openxmlformats.org/spreadsheetml/2006/main">
  <c r="C6" i="2" l="1"/>
  <c r="B6" i="2"/>
  <c r="E6" i="2" s="1"/>
  <c r="C5" i="2"/>
  <c r="B5" i="2"/>
  <c r="E5" i="2" s="1"/>
  <c r="C4" i="2"/>
  <c r="B4" i="2"/>
  <c r="E4" i="2" s="1"/>
  <c r="C3" i="2"/>
  <c r="B3" i="2"/>
  <c r="E3" i="2" s="1"/>
  <c r="M12" i="1"/>
  <c r="M11" i="1"/>
  <c r="M10" i="1"/>
  <c r="M9" i="1"/>
  <c r="M8" i="1"/>
  <c r="M7" i="1"/>
  <c r="M6" i="1"/>
  <c r="C7" i="2" s="1"/>
  <c r="M5" i="1"/>
  <c r="B7" i="2" s="1"/>
  <c r="M4" i="1"/>
  <c r="M3" i="1"/>
  <c r="E7" i="2" l="1"/>
  <c r="D7" i="2"/>
  <c r="D3" i="2"/>
  <c r="D4" i="2"/>
  <c r="D5" i="2"/>
  <c r="D6" i="2"/>
</calcChain>
</file>

<file path=xl/sharedStrings.xml><?xml version="1.0" encoding="utf-8"?>
<sst xmlns="http://schemas.openxmlformats.org/spreadsheetml/2006/main" count="95" uniqueCount="53">
  <si>
    <t>ContentAlchemy — Prompt Output Log (Power BI Data Source)</t>
  </si>
  <si>
    <t>Date</t>
  </si>
  <si>
    <t>Product Name</t>
  </si>
  <si>
    <t>Category</t>
  </si>
  <si>
    <t>State</t>
  </si>
  <si>
    <t>Review Rating</t>
  </si>
  <si>
    <t>Prompt Type</t>
  </si>
  <si>
    <t>Content Type</t>
  </si>
  <si>
    <t>Output Text</t>
  </si>
  <si>
    <t>CA Score</t>
  </si>
  <si>
    <t>SA Score</t>
  </si>
  <si>
    <t>CTA Score</t>
  </si>
  <si>
    <t>P Score</t>
  </si>
  <si>
    <t>Average Score</t>
  </si>
  <si>
    <t>06-04-2026</t>
  </si>
  <si>
    <t>Cookware Set</t>
  </si>
  <si>
    <t>Home &amp; Kitchen</t>
  </si>
  <si>
    <t>Maharashtra</t>
  </si>
  <si>
    <t>STRUCTURED</t>
  </si>
  <si>
    <t>Instagram Caption</t>
  </si>
  <si>
    <t>Transform Your Kitchen, Transform Your Cooking! Calling all food lovers in Maharashtra! Meet your kitchen's new best friend — our premium Cookware Set that's winning hearts across India! 5-star rated by happy home chefs. Superior build that lasts for years. Special Price: Rs.12,195 only! Shop Now on Amazon India.</t>
  </si>
  <si>
    <t>GENERIC</t>
  </si>
  <si>
    <t>Upgrade your kitchen with cookware that works as hard as you do. Even heat. Non-stick ease. Built to last. From quick breakfasts to gourmet dinners, every meal feels effortless. Tap to upgrade your cooking game.</t>
  </si>
  <si>
    <t>Sikkim</t>
  </si>
  <si>
    <t>Email Response</t>
  </si>
  <si>
    <t>Subject: We're sorry about your experience. Dear Customer, Thank you for sharing your feedback. We're truly sorry the cookware set did not meet your expectations. We offer a full refund of Rs.25,574 or free replacement. We also offer an exclusive discount voucher for your next purchase. Warm regards, Customer Experience Team.</t>
  </si>
  <si>
    <t>Thank you for sharing your feedback. We're really sorry to hear that your experience with our cookware set didn't meet expectations. Please reach out to us with your order details so our customer care team can assist you. Thank you for giving us a try.</t>
  </si>
  <si>
    <t>Hair Dryer</t>
  </si>
  <si>
    <t>Beauty</t>
  </si>
  <si>
    <t>Telangana</t>
  </si>
  <si>
    <t>Turn everyday hair days into salon-level glam. Engineered for fast drying with powerful airflow. Advanced heat control to reduce frizz and protect shine. Luxury performance worth every rupee at Rs.19,361. 5/5 from a happy customer in Telangana: Excellent product! Best-sellers don't stay in stock for long. Shop now and upgrade your hair game today. #HairGoals #BeautyMustHave #SalonAtHome</t>
  </si>
  <si>
    <t>Salon-Smooth Hair. Every Single Day. Meet the hair dryer that dries faster, styles better, and protects your shine. Powerful airflow. Less heat damage. Lightweight and easy to use. Good hair days just got effortless. Tap to shine. #HairGoals #StyleAtHome #HealthyHair</t>
  </si>
  <si>
    <t>Tripura</t>
  </si>
  <si>
    <t>Email Campaign</t>
  </si>
  <si>
    <t>Subject: Thank you for your feedback — let us help you get the best experience. Dear Customer, Thank you for sharing your honest feedback. For a premium purchase of Rs.46,303 it's understandable to expect excellence. We offer a free exchange or complimentary personalised usage guide. We are also extending an exclusive loyalty discount on your next purchase. Warm regards, Customer Care Team.</t>
  </si>
  <si>
    <t>Subject: We'd Love to Make This Right. Hi Customer, We're sorry to hear that you weren't satisfied with your hair dryer. That's not the experience we want you to have. Please reach out to us with your order details so we can assist you further. Thank you for giving us a try. Best, Brand Name Team.</t>
  </si>
  <si>
    <t>Headphones</t>
  </si>
  <si>
    <t>Electronics</t>
  </si>
  <si>
    <t>Assam</t>
  </si>
  <si>
    <t>Product Description</t>
  </si>
  <si>
    <t>Experience Studio-Grade Sound — Built for True Audio Enthusiasts. Designed for tech-savvy listeners who demand precision, these premium headphones deliver immersive sound with exceptional clarity. High-Resolution Audio Drivers. Advanced Noise Isolation. Low-Latency Performance. Premium Build and Comfort. Seamless Connectivity. 5/5 Rating — Verified Buyer from Assam: Highly recommend! Available now for Rs.38,145. Upgrade your listening experience today — order now on Amazon.</t>
  </si>
  <si>
    <t>Premium Wireless Headphones. Experience powerful sound and all-day comfort with headphones designed for music lovers, gamers, and busy lifestyles alike. Rich Balanced Sound. Comfort Fit Design. Wireless Convenience. Long Battery Life. Built-in Microphone. Foldable and Lightweight. Upgrade your listening experience with headphones that combine performance, style, and reliability.</t>
  </si>
  <si>
    <t>ContentAlchemy — Summary Statistics for Power BI</t>
  </si>
  <si>
    <t>Metric</t>
  </si>
  <si>
    <t>Structured Avg</t>
  </si>
  <si>
    <t>Generic Avg</t>
  </si>
  <si>
    <t>Difference</t>
  </si>
  <si>
    <t>Winner</t>
  </si>
  <si>
    <t>Contextual Accuracy</t>
  </si>
  <si>
    <t>Sentiment Alignment</t>
  </si>
  <si>
    <t>CTA Strength</t>
  </si>
  <si>
    <t>Personalization</t>
  </si>
  <si>
    <t>Overall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</si>
</sst>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b/>
      <sz val="13"/>
      <color rgb="FFFFFFFF"/>
      <name val="Arial"/>
    </font>
    <font>
      <b/>
      <sz val="10"/>
      <color rgb="FFFFFFFF"/>
      <name val="Arial"/>
    </font>
    <font>
      <sz val="10"/>
      <color rgb="FF000000"/>
      <name val="Arial"/>
    </font>
    <font>
      <b/>
      <sz val="10"/>
      <color rgb="FF276221"/>
      <name val="Arial"/>
    </font>
    <font>
      <b/>
      <sz val="11"/>
      <color rgb="FF000000"/>
      <name val="Arial"/>
    </font>
    <font>
      <b/>
      <sz val="10"/>
      <color rgb="FF9C0006"/>
      <name val="Arial"/>
    </font>
    <font>
      <b/>
      <sz val="10"/>
      <color rgb="FF9C5700"/>
      <name val="Arial"/>
    </font>
    <font>
      <sz val="11"/>
      <color rgb="FF276221"/>
      <name val="Arial"/>
    </font>
    <font>
      <sz val="11"/>
      <color rgb="FF9C0006"/>
      <name val="Arial"/>
    </font>
    <font>
      <b/>
      <sz val="10"/>
      <color rgb="FF000000"/>
      <name val="Arial"/>
    </font>
    <font>
      <b/>
      <sz val="11"/>
      <color rgb="FF276221"/>
      <name val="Arial"/>
    </font>
    <font>
      <b/>
      <sz val="11"/>
      <color rgb="FF9C0006"/>
      <name val="Arial"/>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EBF3FB"/>
      </patternFill>
    </fill>
    <fill>
      <patternFill patternType="solid">
        <fgColor rgb="FFC6EFCE"/>
      </patternFill>
    </fill>
    <fill>
      <patternFill patternType="solid">
        <fgColor rgb="FFFFFFFF"/>
      </patternFill>
    </fill>
    <fill>
      <patternFill patternType="solid">
        <fgColor rgb="FFFFC7CE"/>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4" fillId="5" borderId="1" xfId="0" applyFont="1" applyFill="1" applyBorder="1" applyAlignment="1">
      <alignment horizontal="center" vertical="center"/>
    </xf>
    <xf numFmtId="0" fontId="3" fillId="4" borderId="1" xfId="0" applyFont="1" applyFill="1" applyBorder="1" applyAlignment="1">
      <alignment horizontal="left" vertical="center" wrapText="1"/>
    </xf>
    <xf numFmtId="164" fontId="5" fillId="4"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6" fillId="7"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7" fillId="8" borderId="1" xfId="0" applyFont="1" applyFill="1" applyBorder="1" applyAlignment="1">
      <alignment horizontal="center" vertical="center"/>
    </xf>
    <xf numFmtId="164" fontId="8" fillId="5" borderId="1" xfId="0" applyNumberFormat="1" applyFont="1" applyFill="1" applyBorder="1" applyAlignment="1">
      <alignment horizontal="center" vertical="center"/>
    </xf>
    <xf numFmtId="164" fontId="9" fillId="7" borderId="1" xfId="0" applyNumberFormat="1" applyFont="1" applyFill="1" applyBorder="1" applyAlignment="1">
      <alignment horizontal="center" vertical="center"/>
    </xf>
    <xf numFmtId="165" fontId="10" fillId="8"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10" fillId="4" borderId="1" xfId="0" applyFont="1" applyFill="1" applyBorder="1" applyAlignment="1">
      <alignment horizontal="left" vertical="center"/>
    </xf>
    <xf numFmtId="164" fontId="11" fillId="5" borderId="1" xfId="0" applyNumberFormat="1" applyFont="1" applyFill="1" applyBorder="1" applyAlignment="1">
      <alignment horizontal="center" vertical="center"/>
    </xf>
    <xf numFmtId="164" fontId="12" fillId="7"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C1" workbookViewId="0">
      <selection sqref="A1:M1"/>
    </sheetView>
  </sheetViews>
  <sheetFormatPr defaultRowHeight="14.4" x14ac:dyDescent="0.3"/>
  <cols>
    <col min="1" max="1" width="12" customWidth="1"/>
    <col min="2" max="4" width="16" customWidth="1"/>
    <col min="5" max="5" width="13.5546875" bestFit="1" customWidth="1"/>
    <col min="6" max="6" width="13" customWidth="1"/>
    <col min="7" max="7" width="18" customWidth="1"/>
    <col min="8" max="8" width="60" customWidth="1"/>
    <col min="9" max="9" width="9.21875" bestFit="1" customWidth="1"/>
    <col min="10" max="12" width="8" customWidth="1"/>
    <col min="13" max="13" width="16" customWidth="1"/>
  </cols>
  <sheetData>
    <row r="1" spans="1:13" ht="30" customHeight="1" x14ac:dyDescent="0.3">
      <c r="A1" s="20" t="s">
        <v>0</v>
      </c>
      <c r="B1" s="21"/>
      <c r="C1" s="21"/>
      <c r="D1" s="21"/>
      <c r="E1" s="21"/>
      <c r="F1" s="21"/>
      <c r="G1" s="21"/>
      <c r="H1" s="21"/>
      <c r="I1" s="21"/>
      <c r="J1" s="21"/>
      <c r="K1" s="21"/>
      <c r="L1" s="21"/>
      <c r="M1" s="21"/>
    </row>
    <row r="2" spans="1:13" ht="22.05" customHeight="1" x14ac:dyDescent="0.3">
      <c r="A2" s="1" t="s">
        <v>1</v>
      </c>
      <c r="B2" s="1" t="s">
        <v>2</v>
      </c>
      <c r="C2" s="1" t="s">
        <v>3</v>
      </c>
      <c r="D2" s="1" t="s">
        <v>4</v>
      </c>
      <c r="E2" s="1" t="s">
        <v>5</v>
      </c>
      <c r="F2" s="1" t="s">
        <v>6</v>
      </c>
      <c r="G2" s="1" t="s">
        <v>7</v>
      </c>
      <c r="H2" s="1" t="s">
        <v>8</v>
      </c>
      <c r="I2" s="1" t="s">
        <v>9</v>
      </c>
      <c r="J2" s="1" t="s">
        <v>10</v>
      </c>
      <c r="K2" s="1" t="s">
        <v>11</v>
      </c>
      <c r="L2" s="1" t="s">
        <v>12</v>
      </c>
      <c r="M2" s="1" t="s">
        <v>13</v>
      </c>
    </row>
    <row r="3" spans="1:13" ht="79.95" customHeight="1" x14ac:dyDescent="0.3">
      <c r="A3" s="2" t="s">
        <v>14</v>
      </c>
      <c r="B3" s="3" t="s">
        <v>15</v>
      </c>
      <c r="C3" s="3" t="s">
        <v>16</v>
      </c>
      <c r="D3" s="3" t="s">
        <v>17</v>
      </c>
      <c r="E3" s="4">
        <v>5</v>
      </c>
      <c r="F3" s="4" t="s">
        <v>18</v>
      </c>
      <c r="G3" s="3" t="s">
        <v>19</v>
      </c>
      <c r="H3" s="5" t="s">
        <v>20</v>
      </c>
      <c r="I3" s="4">
        <v>5</v>
      </c>
      <c r="J3" s="4">
        <v>5</v>
      </c>
      <c r="K3" s="4">
        <v>5</v>
      </c>
      <c r="L3" s="4">
        <v>4</v>
      </c>
      <c r="M3" s="6">
        <f t="shared" ref="M3:M12" si="0">AVERAGE(I3:L3)</f>
        <v>4.75</v>
      </c>
    </row>
    <row r="4" spans="1:13" ht="79.95" customHeight="1" x14ac:dyDescent="0.3">
      <c r="A4" s="7" t="s">
        <v>14</v>
      </c>
      <c r="B4" s="8" t="s">
        <v>15</v>
      </c>
      <c r="C4" s="8" t="s">
        <v>16</v>
      </c>
      <c r="D4" s="8" t="s">
        <v>17</v>
      </c>
      <c r="E4" s="4">
        <v>5</v>
      </c>
      <c r="F4" s="9" t="s">
        <v>21</v>
      </c>
      <c r="G4" s="8" t="s">
        <v>19</v>
      </c>
      <c r="H4" s="10" t="s">
        <v>22</v>
      </c>
      <c r="I4" s="9">
        <v>2</v>
      </c>
      <c r="J4" s="11">
        <v>3</v>
      </c>
      <c r="K4" s="11">
        <v>3</v>
      </c>
      <c r="L4" s="9">
        <v>1</v>
      </c>
      <c r="M4" s="6">
        <f t="shared" si="0"/>
        <v>2.25</v>
      </c>
    </row>
    <row r="5" spans="1:13" ht="79.95" customHeight="1" x14ac:dyDescent="0.3">
      <c r="A5" s="2" t="s">
        <v>14</v>
      </c>
      <c r="B5" s="3" t="s">
        <v>15</v>
      </c>
      <c r="C5" s="3" t="s">
        <v>16</v>
      </c>
      <c r="D5" s="3" t="s">
        <v>23</v>
      </c>
      <c r="E5" s="9">
        <v>1</v>
      </c>
      <c r="F5" s="4" t="s">
        <v>18</v>
      </c>
      <c r="G5" s="3" t="s">
        <v>24</v>
      </c>
      <c r="H5" s="5" t="s">
        <v>25</v>
      </c>
      <c r="I5" s="4">
        <v>5</v>
      </c>
      <c r="J5" s="4">
        <v>5</v>
      </c>
      <c r="K5" s="4">
        <v>4</v>
      </c>
      <c r="L5" s="4">
        <v>5</v>
      </c>
      <c r="M5" s="6">
        <f t="shared" si="0"/>
        <v>4.75</v>
      </c>
    </row>
    <row r="6" spans="1:13" ht="79.95" customHeight="1" x14ac:dyDescent="0.3">
      <c r="A6" s="7" t="s">
        <v>14</v>
      </c>
      <c r="B6" s="8" t="s">
        <v>15</v>
      </c>
      <c r="C6" s="8" t="s">
        <v>16</v>
      </c>
      <c r="D6" s="8" t="s">
        <v>23</v>
      </c>
      <c r="E6" s="9">
        <v>1</v>
      </c>
      <c r="F6" s="9" t="s">
        <v>21</v>
      </c>
      <c r="G6" s="8" t="s">
        <v>24</v>
      </c>
      <c r="H6" s="10" t="s">
        <v>26</v>
      </c>
      <c r="I6" s="9">
        <v>2</v>
      </c>
      <c r="J6" s="11">
        <v>3</v>
      </c>
      <c r="K6" s="9">
        <v>2</v>
      </c>
      <c r="L6" s="9">
        <v>1</v>
      </c>
      <c r="M6" s="6">
        <f t="shared" si="0"/>
        <v>2</v>
      </c>
    </row>
    <row r="7" spans="1:13" ht="79.95" customHeight="1" x14ac:dyDescent="0.3">
      <c r="A7" s="2" t="s">
        <v>14</v>
      </c>
      <c r="B7" s="3" t="s">
        <v>27</v>
      </c>
      <c r="C7" s="3" t="s">
        <v>28</v>
      </c>
      <c r="D7" s="3" t="s">
        <v>29</v>
      </c>
      <c r="E7" s="4">
        <v>5</v>
      </c>
      <c r="F7" s="4" t="s">
        <v>18</v>
      </c>
      <c r="G7" s="3" t="s">
        <v>19</v>
      </c>
      <c r="H7" s="5" t="s">
        <v>30</v>
      </c>
      <c r="I7" s="4">
        <v>5</v>
      </c>
      <c r="J7" s="4">
        <v>5</v>
      </c>
      <c r="K7" s="4">
        <v>5</v>
      </c>
      <c r="L7" s="4">
        <v>4</v>
      </c>
      <c r="M7" s="6">
        <f t="shared" si="0"/>
        <v>4.75</v>
      </c>
    </row>
    <row r="8" spans="1:13" ht="79.95" customHeight="1" x14ac:dyDescent="0.3">
      <c r="A8" s="7" t="s">
        <v>14</v>
      </c>
      <c r="B8" s="8" t="s">
        <v>27</v>
      </c>
      <c r="C8" s="8" t="s">
        <v>28</v>
      </c>
      <c r="D8" s="8" t="s">
        <v>29</v>
      </c>
      <c r="E8" s="4">
        <v>5</v>
      </c>
      <c r="F8" s="9" t="s">
        <v>21</v>
      </c>
      <c r="G8" s="8" t="s">
        <v>19</v>
      </c>
      <c r="H8" s="10" t="s">
        <v>31</v>
      </c>
      <c r="I8" s="9">
        <v>2</v>
      </c>
      <c r="J8" s="11">
        <v>3</v>
      </c>
      <c r="K8" s="11">
        <v>3</v>
      </c>
      <c r="L8" s="9">
        <v>1</v>
      </c>
      <c r="M8" s="6">
        <f t="shared" si="0"/>
        <v>2.25</v>
      </c>
    </row>
    <row r="9" spans="1:13" ht="79.95" customHeight="1" x14ac:dyDescent="0.3">
      <c r="A9" s="2" t="s">
        <v>14</v>
      </c>
      <c r="B9" s="3" t="s">
        <v>27</v>
      </c>
      <c r="C9" s="3" t="s">
        <v>28</v>
      </c>
      <c r="D9" s="3" t="s">
        <v>32</v>
      </c>
      <c r="E9" s="9">
        <v>2</v>
      </c>
      <c r="F9" s="4" t="s">
        <v>18</v>
      </c>
      <c r="G9" s="3" t="s">
        <v>33</v>
      </c>
      <c r="H9" s="5" t="s">
        <v>34</v>
      </c>
      <c r="I9" s="4">
        <v>5</v>
      </c>
      <c r="J9" s="4">
        <v>4</v>
      </c>
      <c r="K9" s="4">
        <v>4</v>
      </c>
      <c r="L9" s="4">
        <v>5</v>
      </c>
      <c r="M9" s="6">
        <f t="shared" si="0"/>
        <v>4.5</v>
      </c>
    </row>
    <row r="10" spans="1:13" ht="79.95" customHeight="1" x14ac:dyDescent="0.3">
      <c r="A10" s="7" t="s">
        <v>14</v>
      </c>
      <c r="B10" s="8" t="s">
        <v>27</v>
      </c>
      <c r="C10" s="8" t="s">
        <v>28</v>
      </c>
      <c r="D10" s="8" t="s">
        <v>32</v>
      </c>
      <c r="E10" s="9">
        <v>2</v>
      </c>
      <c r="F10" s="9" t="s">
        <v>21</v>
      </c>
      <c r="G10" s="8" t="s">
        <v>33</v>
      </c>
      <c r="H10" s="10" t="s">
        <v>35</v>
      </c>
      <c r="I10" s="9">
        <v>1</v>
      </c>
      <c r="J10" s="11">
        <v>3</v>
      </c>
      <c r="K10" s="9">
        <v>2</v>
      </c>
      <c r="L10" s="9">
        <v>1</v>
      </c>
      <c r="M10" s="6">
        <f t="shared" si="0"/>
        <v>1.75</v>
      </c>
    </row>
    <row r="11" spans="1:13" ht="79.95" customHeight="1" x14ac:dyDescent="0.3">
      <c r="A11" s="2" t="s">
        <v>14</v>
      </c>
      <c r="B11" s="3" t="s">
        <v>36</v>
      </c>
      <c r="C11" s="3" t="s">
        <v>37</v>
      </c>
      <c r="D11" s="3" t="s">
        <v>38</v>
      </c>
      <c r="E11" s="4">
        <v>5</v>
      </c>
      <c r="F11" s="4" t="s">
        <v>18</v>
      </c>
      <c r="G11" s="3" t="s">
        <v>39</v>
      </c>
      <c r="H11" s="5" t="s">
        <v>40</v>
      </c>
      <c r="I11" s="4">
        <v>5</v>
      </c>
      <c r="J11" s="4">
        <v>5</v>
      </c>
      <c r="K11" s="4">
        <v>5</v>
      </c>
      <c r="L11" s="4">
        <v>4</v>
      </c>
      <c r="M11" s="6">
        <f t="shared" si="0"/>
        <v>4.75</v>
      </c>
    </row>
    <row r="12" spans="1:13" ht="79.95" customHeight="1" x14ac:dyDescent="0.3">
      <c r="A12" s="7" t="s">
        <v>14</v>
      </c>
      <c r="B12" s="8" t="s">
        <v>36</v>
      </c>
      <c r="C12" s="8" t="s">
        <v>37</v>
      </c>
      <c r="D12" s="8" t="s">
        <v>38</v>
      </c>
      <c r="E12" s="4">
        <v>5</v>
      </c>
      <c r="F12" s="9" t="s">
        <v>21</v>
      </c>
      <c r="G12" s="8" t="s">
        <v>39</v>
      </c>
      <c r="H12" s="10" t="s">
        <v>41</v>
      </c>
      <c r="I12" s="9">
        <v>2</v>
      </c>
      <c r="J12" s="11">
        <v>3</v>
      </c>
      <c r="K12" s="11">
        <v>3</v>
      </c>
      <c r="L12" s="9">
        <v>1</v>
      </c>
      <c r="M12" s="6">
        <f t="shared" si="0"/>
        <v>2.25</v>
      </c>
    </row>
  </sheetData>
  <mergeCells count="1">
    <mergeCell ref="A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sqref="A1:E1"/>
    </sheetView>
  </sheetViews>
  <sheetFormatPr defaultRowHeight="14.4" x14ac:dyDescent="0.3"/>
  <cols>
    <col min="1" max="1" width="22" customWidth="1"/>
    <col min="2" max="2" width="16" customWidth="1"/>
    <col min="3" max="3" width="14" customWidth="1"/>
    <col min="4" max="4" width="12" customWidth="1"/>
    <col min="5" max="5" width="18" customWidth="1"/>
  </cols>
  <sheetData>
    <row r="1" spans="1:5" ht="30" customHeight="1" x14ac:dyDescent="0.3">
      <c r="A1" s="20" t="s">
        <v>42</v>
      </c>
      <c r="B1" s="21"/>
      <c r="C1" s="21"/>
      <c r="D1" s="21"/>
      <c r="E1" s="21"/>
    </row>
    <row r="2" spans="1:5" x14ac:dyDescent="0.3">
      <c r="A2" s="1" t="s">
        <v>43</v>
      </c>
      <c r="B2" s="1" t="s">
        <v>44</v>
      </c>
      <c r="C2" s="1" t="s">
        <v>45</v>
      </c>
      <c r="D2" s="1" t="s">
        <v>46</v>
      </c>
      <c r="E2" s="1" t="s">
        <v>47</v>
      </c>
    </row>
    <row r="3" spans="1:5" x14ac:dyDescent="0.3">
      <c r="A3" s="3" t="s">
        <v>48</v>
      </c>
      <c r="B3" s="12">
        <f>AVERAGEIF('Output Log'!F3:F12,"STRUCTURED",'Output Log'!I3:I12)</f>
        <v>5</v>
      </c>
      <c r="C3" s="13">
        <f>AVERAGEIF('Output Log'!F3:F12,"GENERIC",'Output Log'!I3:I12)</f>
        <v>1.8</v>
      </c>
      <c r="D3" s="14">
        <f>B3-C3</f>
        <v>3.2</v>
      </c>
      <c r="E3" s="15" t="str">
        <f>IF(B3&gt;C3,"STRUCTURED WINS","GENERIC WINS")</f>
        <v>STRUCTURED WINS</v>
      </c>
    </row>
    <row r="4" spans="1:5" x14ac:dyDescent="0.3">
      <c r="A4" s="8" t="s">
        <v>49</v>
      </c>
      <c r="B4" s="12">
        <f>AVERAGEIF('Output Log'!F3:F12,"STRUCTURED",'Output Log'!J3:J12)</f>
        <v>4.8</v>
      </c>
      <c r="C4" s="13">
        <f>AVERAGEIF('Output Log'!F3:F12,"GENERIC",'Output Log'!J3:J12)</f>
        <v>3</v>
      </c>
      <c r="D4" s="14">
        <f>B4-C4</f>
        <v>1.7999999999999998</v>
      </c>
      <c r="E4" s="16" t="str">
        <f>IF(B4&gt;C4,"STRUCTURED WINS","GENERIC WINS")</f>
        <v>STRUCTURED WINS</v>
      </c>
    </row>
    <row r="5" spans="1:5" x14ac:dyDescent="0.3">
      <c r="A5" s="3" t="s">
        <v>50</v>
      </c>
      <c r="B5" s="12">
        <f>AVERAGEIF('Output Log'!F3:F12,"STRUCTURED",'Output Log'!K3:K12)</f>
        <v>4.5999999999999996</v>
      </c>
      <c r="C5" s="13">
        <f>AVERAGEIF('Output Log'!F3:F12,"GENERIC",'Output Log'!K3:K12)</f>
        <v>2.6</v>
      </c>
      <c r="D5" s="14">
        <f>B5-C5</f>
        <v>1.9999999999999996</v>
      </c>
      <c r="E5" s="15" t="str">
        <f>IF(B5&gt;C5,"STRUCTURED WINS","GENERIC WINS")</f>
        <v>STRUCTURED WINS</v>
      </c>
    </row>
    <row r="6" spans="1:5" x14ac:dyDescent="0.3">
      <c r="A6" s="8" t="s">
        <v>51</v>
      </c>
      <c r="B6" s="12">
        <f>AVERAGEIF('Output Log'!F3:F12,"STRUCTURED",'Output Log'!L3:L12)</f>
        <v>4.4000000000000004</v>
      </c>
      <c r="C6" s="13">
        <f>AVERAGEIF('Output Log'!F3:F12,"GENERIC",'Output Log'!L3:L12)</f>
        <v>1</v>
      </c>
      <c r="D6" s="14">
        <f>B6-C6</f>
        <v>3.4000000000000004</v>
      </c>
      <c r="E6" s="16" t="str">
        <f>IF(B6&gt;C6,"STRUCTURED WINS","GENERIC WINS")</f>
        <v>STRUCTURED WINS</v>
      </c>
    </row>
    <row r="7" spans="1:5" x14ac:dyDescent="0.3">
      <c r="A7" s="17" t="s">
        <v>52</v>
      </c>
      <c r="B7" s="18">
        <f>AVERAGEIF('Output Log'!F3:F12,"STRUCTURED",'Output Log'!M3:M12)</f>
        <v>4.7</v>
      </c>
      <c r="C7" s="19">
        <f>AVERAGEIF('Output Log'!F3:F12,"GENERIC",'Output Log'!M3:M12)</f>
        <v>2.1</v>
      </c>
      <c r="D7" s="14">
        <f>B7-C7</f>
        <v>2.6</v>
      </c>
      <c r="E7" s="15" t="str">
        <f>IF(B7&gt;C7,"STRUCTURED WINS","GENERIC WINS")</f>
        <v>STRUCTURED WINS</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 Log</vt:lpstr>
      <vt:lpstr>Summary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sanchi Mittal</cp:lastModifiedBy>
  <dcterms:created xsi:type="dcterms:W3CDTF">2026-04-06T00:59:59Z</dcterms:created>
  <dcterms:modified xsi:type="dcterms:W3CDTF">2026-04-10T14:55:09Z</dcterms:modified>
</cp:coreProperties>
</file>